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tenttekltd-my.sharepoint.com/personal/andreani_stenttekltd_onmicrosoft_com/Documents/Desktop/"/>
    </mc:Choice>
  </mc:AlternateContent>
  <xr:revisionPtr revIDLastSave="385" documentId="11_F25DC773A252ABDACC1048E5411B78F05ADE58EB" xr6:coauthVersionLast="47" xr6:coauthVersionMax="47" xr10:uidLastSave="{1A241D8F-A297-421E-85C9-B46241CB8662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1" l="1"/>
  <c r="U33" i="1" s="1"/>
  <c r="T32" i="1"/>
  <c r="U32" i="1" s="1"/>
  <c r="T31" i="1"/>
  <c r="U31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16" i="1"/>
  <c r="U16" i="1" s="1"/>
  <c r="T15" i="1"/>
  <c r="U15" i="1" s="1"/>
  <c r="T14" i="1"/>
  <c r="U14" i="1" s="1"/>
  <c r="T13" i="1"/>
  <c r="U13" i="1" s="1"/>
  <c r="T12" i="1"/>
  <c r="U12" i="1" s="1"/>
  <c r="T11" i="1"/>
  <c r="U11" i="1" s="1"/>
  <c r="T10" i="1"/>
  <c r="U10" i="1" s="1"/>
  <c r="T9" i="1"/>
  <c r="U9" i="1" s="1"/>
  <c r="T8" i="1"/>
  <c r="U8" i="1" s="1"/>
  <c r="T7" i="1"/>
  <c r="U7" i="1" s="1"/>
  <c r="T6" i="1"/>
  <c r="U6" i="1" s="1"/>
  <c r="T5" i="1"/>
  <c r="U5" i="1" s="1"/>
  <c r="T4" i="1"/>
  <c r="U4" i="1" s="1"/>
</calcChain>
</file>

<file path=xl/sharedStrings.xml><?xml version="1.0" encoding="utf-8"?>
<sst xmlns="http://schemas.openxmlformats.org/spreadsheetml/2006/main" count="53" uniqueCount="26">
  <si>
    <t>Ground connection</t>
  </si>
  <si>
    <t>D-sub connection</t>
  </si>
  <si>
    <t>Resistance connector</t>
  </si>
  <si>
    <t>Full data</t>
  </si>
  <si>
    <t>HEX</t>
  </si>
  <si>
    <t>Test num</t>
  </si>
  <si>
    <t>Power adapter</t>
  </si>
  <si>
    <t>J5 Pin 1</t>
  </si>
  <si>
    <t>+5V_ISO</t>
  </si>
  <si>
    <t>-5V_ISO</t>
  </si>
  <si>
    <t>VCC Out Test Point pin 2</t>
  </si>
  <si>
    <t>VCC Out Test Point pin 3</t>
  </si>
  <si>
    <t>VCC Out Test Point pin 4</t>
  </si>
  <si>
    <t>4.096V</t>
  </si>
  <si>
    <t>2.5V</t>
  </si>
  <si>
    <t>DAC_1 Port</t>
  </si>
  <si>
    <t>DAC_4 Port</t>
  </si>
  <si>
    <t>QA</t>
  </si>
  <si>
    <t>QH</t>
  </si>
  <si>
    <t>QG</t>
  </si>
  <si>
    <t>QF</t>
  </si>
  <si>
    <t>QE</t>
  </si>
  <si>
    <t>QD</t>
  </si>
  <si>
    <t>QC</t>
  </si>
  <si>
    <t>QB</t>
  </si>
  <si>
    <t>Re-arraged data according to information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</si>
</sst>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494949"/>
      <name val="Courier New"/>
      <family val="3"/>
    </font>
    <font>
      <sz val="11"/>
      <name val="Calibri"/>
      <family val="2"/>
      <scheme val="minor"/>
    </font>
    <font>
      <sz val="9.800000000000000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0" fillId="4" borderId="0" xfId="0" applyFill="1" applyAlignment="1">
      <alignment horizontal="center"/>
    </xf>
    <xf numFmtId="0" fontId="2" fillId="7" borderId="0" xfId="0" applyFont="1" applyFill="1"/>
    <xf numFmtId="0" fontId="3" fillId="7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608770</xdr:colOff>
      <xdr:row>0</xdr:row>
      <xdr:rowOff>0</xdr:rowOff>
    </xdr:from>
    <xdr:to>
      <xdr:col>11</xdr:col>
      <xdr:colOff>76210</xdr:colOff>
      <xdr:row>17</xdr:row>
      <xdr:rowOff>126959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3D3D679-2CD1-3C5E-7C0B-E7ACE9D5D378}"/>
                </a:ext>
              </a:extLst>
            </xdr14:cNvPr>
            <xdr14:cNvContentPartPr/>
          </xdr14:nvContentPartPr>
          <xdr14:nvPr macro=""/>
          <xdr14:xfrm>
            <a:off x="6704770" y="3149020"/>
            <a:ext cx="77040" cy="3251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3D3D679-2CD1-3C5E-7C0B-E7ACE9D5D3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98707" y="3142983"/>
              <a:ext cx="89167" cy="3263234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608770</xdr:colOff>
      <xdr:row>0</xdr:row>
      <xdr:rowOff>18470</xdr:rowOff>
    </xdr:from>
    <xdr:ext cx="75609" cy="331349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3AA881E-9FC0-4134-AE30-8156F6C6D5FB}"/>
                </a:ext>
              </a:extLst>
            </xdr14:cNvPr>
            <xdr14:cNvContentPartPr/>
          </xdr14:nvContentPartPr>
          <xdr14:nvPr macro=""/>
          <xdr14:xfrm>
            <a:off x="6704770" y="3149020"/>
            <a:ext cx="77040" cy="3251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3D3D679-2CD1-3C5E-7C0B-E7ACE9D5D3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98707" y="3142983"/>
              <a:ext cx="89167" cy="3263234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04T10:39:48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24575,'-1'246'0,"3"259"0,6-334 0,1 78 0,-11 19 0,4 301 0,15-240 0,-11-205 0,6 197 0,-12 1128 0,9-1207 0,0-6 0,-5-146 0,18 107 0,-10-109 0,3 120 0,-7 70 0,1 227 0,-11-307 0,11 65 0,0-4 0,-9 1331 0,9-1458 0,1-2 0,-10-77 0,9 67 0,12 71 0,-17-119-1365,-4-57-5461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8T08:22:18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24575,'-1'249'0,"3"262"0,6-338 0,1 78 0,-11 21 0,4 303 0,15-242 0,-11-207 0,6 198 0,-12 1142 0,9-1220 0,-1-8 0,-4-147 0,19 108 0,-12-110 0,4 122 0,-6 70 0,0 229 0,-11-309 0,10 65 0,1-4 0,-9 1347 0,9-1476 0,1-1 0,-10-78 0,10 66 0,10 74 0,-16-121-1365,-4-58-5461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U34"/>
  <sheetViews>
    <sheetView tabSelected="1" zoomScale="72" zoomScaleNormal="72" workbookViewId="0">
      <selection activeCell="X28" sqref="X28"/>
    </sheetView>
  </sheetViews>
  <sheetFormatPr defaultRowHeight="14.5" x14ac:dyDescent="0.35"/>
  <cols>
    <col min="20" max="20" width="11.7265625" customWidth="1"/>
  </cols>
  <sheetData>
    <row r="2" spans="3:21" x14ac:dyDescent="0.35">
      <c r="C2" s="6" t="s">
        <v>5</v>
      </c>
      <c r="D2" s="3" t="s">
        <v>6</v>
      </c>
      <c r="E2" s="3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3"/>
      <c r="P2" s="7" t="s">
        <v>0</v>
      </c>
      <c r="Q2" s="7"/>
      <c r="R2" s="11" t="s">
        <v>2</v>
      </c>
      <c r="S2" s="11"/>
      <c r="T2" s="8" t="s">
        <v>3</v>
      </c>
      <c r="U2" s="9" t="s">
        <v>4</v>
      </c>
    </row>
    <row r="3" spans="3:21" x14ac:dyDescent="0.35">
      <c r="C3" s="6"/>
      <c r="D3" s="10" t="s">
        <v>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7"/>
      <c r="Q3" s="7"/>
      <c r="R3" s="11"/>
      <c r="S3" s="11"/>
      <c r="T3" s="8"/>
      <c r="U3" s="9"/>
    </row>
    <row r="4" spans="3:21" x14ac:dyDescent="0.35">
      <c r="C4" s="2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 s="1" t="str">
        <f>_xlfn.CONCAT(D4:S4)</f>
        <v>1000000000001000</v>
      </c>
      <c r="U4" s="5" t="str">
        <f>BIN2HEX(LEFT(T4, 8), 2) &amp; BIN2HEX(RIGHT(T4, 8), 2)</f>
        <v>8008</v>
      </c>
    </row>
    <row r="5" spans="3:21" x14ac:dyDescent="0.35">
      <c r="C5" s="2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 s="1" t="str">
        <f t="shared" ref="T5:T16" si="0">_xlfn.CONCAT(D5:S5)</f>
        <v>0100000000001000</v>
      </c>
      <c r="U5" s="5" t="str">
        <f t="shared" ref="U5:U6" si="1">BIN2HEX(LEFT(T5, 8), 2) &amp; BIN2HEX(RIGHT(T5, 8), 2)</f>
        <v>4008</v>
      </c>
    </row>
    <row r="6" spans="3:21" x14ac:dyDescent="0.35">
      <c r="C6" s="2">
        <v>2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 s="1" t="str">
        <f t="shared" si="0"/>
        <v>0010000000000100</v>
      </c>
      <c r="U6" s="5" t="str">
        <f t="shared" si="1"/>
        <v>2004</v>
      </c>
    </row>
    <row r="7" spans="3:21" x14ac:dyDescent="0.35">
      <c r="C7" s="2">
        <v>3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 s="1" t="str">
        <f t="shared" si="0"/>
        <v>0001000000000100</v>
      </c>
      <c r="U7" s="5" t="str">
        <f>BIN2HEX(LEFT(T7, 8), 2) &amp; BIN2HEX(RIGHT(T7, 8), 2)</f>
        <v>1004</v>
      </c>
    </row>
    <row r="8" spans="3:21" x14ac:dyDescent="0.35">
      <c r="C8" s="2">
        <v>4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 s="1" t="str">
        <f t="shared" si="0"/>
        <v>0000100000000100</v>
      </c>
      <c r="U8" s="5" t="str">
        <f t="shared" ref="U8:U16" si="2">BIN2HEX(LEFT(T8, 8), 2) &amp; BIN2HEX(RIGHT(T8, 8), 2)</f>
        <v>0804</v>
      </c>
    </row>
    <row r="9" spans="3:21" x14ac:dyDescent="0.35">
      <c r="C9" s="2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 s="1" t="str">
        <f t="shared" si="0"/>
        <v>0000010000000100</v>
      </c>
      <c r="U9" s="5" t="str">
        <f t="shared" si="2"/>
        <v>0404</v>
      </c>
    </row>
    <row r="10" spans="3:21" x14ac:dyDescent="0.35">
      <c r="C10" s="2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 s="1" t="str">
        <f t="shared" si="0"/>
        <v>0000001000000100</v>
      </c>
      <c r="U10" s="5" t="str">
        <f t="shared" si="2"/>
        <v>0204</v>
      </c>
    </row>
    <row r="11" spans="3:21" x14ac:dyDescent="0.35">
      <c r="C11" s="2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 s="1" t="str">
        <f t="shared" si="0"/>
        <v>0000000100000100</v>
      </c>
      <c r="U11" s="5" t="str">
        <f t="shared" si="2"/>
        <v>0104</v>
      </c>
    </row>
    <row r="12" spans="3:21" x14ac:dyDescent="0.35">
      <c r="C12" s="2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 s="1" t="str">
        <f t="shared" si="0"/>
        <v>0000000010000100</v>
      </c>
      <c r="U12" s="5" t="str">
        <f t="shared" si="2"/>
        <v>0084</v>
      </c>
    </row>
    <row r="13" spans="3:21" x14ac:dyDescent="0.35">
      <c r="C13" s="2">
        <v>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 s="1" t="str">
        <f t="shared" si="0"/>
        <v>0000000001000100</v>
      </c>
      <c r="U13" s="5" t="str">
        <f t="shared" si="2"/>
        <v>0044</v>
      </c>
    </row>
    <row r="14" spans="3:21" x14ac:dyDescent="0.35">
      <c r="C14" s="2">
        <v>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 s="1" t="str">
        <f t="shared" si="0"/>
        <v>0000000001000100</v>
      </c>
      <c r="U14" s="5" t="str">
        <f t="shared" si="2"/>
        <v>0044</v>
      </c>
    </row>
    <row r="15" spans="3:21" x14ac:dyDescent="0.35">
      <c r="C15" s="2">
        <v>11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1</v>
      </c>
      <c r="T15" s="1" t="str">
        <f t="shared" si="0"/>
        <v>0000000000100111</v>
      </c>
      <c r="U15" s="5" t="str">
        <f t="shared" si="2"/>
        <v>0027</v>
      </c>
    </row>
    <row r="16" spans="3:21" x14ac:dyDescent="0.35">
      <c r="C16" s="2">
        <v>12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 s="1" t="str">
        <f t="shared" si="0"/>
        <v>0000000000100111</v>
      </c>
      <c r="U16" s="5" t="str">
        <f t="shared" si="2"/>
        <v>0027</v>
      </c>
    </row>
    <row r="17" spans="3:21" x14ac:dyDescent="0.35"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17</v>
      </c>
      <c r="M17" t="s">
        <v>18</v>
      </c>
      <c r="N17" t="s">
        <v>19</v>
      </c>
      <c r="O17" t="s">
        <v>20</v>
      </c>
      <c r="P17" t="s">
        <v>21</v>
      </c>
      <c r="Q17" t="s">
        <v>22</v>
      </c>
      <c r="R17" t="s">
        <v>23</v>
      </c>
      <c r="S17" t="s">
        <v>24</v>
      </c>
    </row>
    <row r="19" spans="3:21" x14ac:dyDescent="0.35">
      <c r="C19" s="6" t="s">
        <v>5</v>
      </c>
      <c r="D19" s="12" t="s">
        <v>25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8" t="s">
        <v>3</v>
      </c>
      <c r="U19" s="9" t="s">
        <v>4</v>
      </c>
    </row>
    <row r="20" spans="3:21" x14ac:dyDescent="0.35">
      <c r="C20" s="6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8"/>
      <c r="U20" s="9"/>
    </row>
    <row r="21" spans="3:21" x14ac:dyDescent="0.35">
      <c r="C21" s="2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 s="1" t="str">
        <f>_xlfn.CONCAT(D21:S21)</f>
        <v>1000000000001000</v>
      </c>
      <c r="U21" s="5" t="str">
        <f>BIN2HEX(LEFT(T21, 8), 2) &amp; BIN2HEX(RIGHT(T21, 8), 2)</f>
        <v>8008</v>
      </c>
    </row>
    <row r="22" spans="3:21" x14ac:dyDescent="0.35">
      <c r="C22" s="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 s="1" t="str">
        <f>_xlfn.CONCAT(D22:S22)</f>
        <v>0000000100001000</v>
      </c>
      <c r="U22" s="5" t="str">
        <f t="shared" ref="U22:U33" si="3">BIN2HEX(LEFT(T22, 8), 2) &amp; BIN2HEX(RIGHT(T22, 8), 2)</f>
        <v>0108</v>
      </c>
    </row>
    <row r="23" spans="3:21" x14ac:dyDescent="0.35">
      <c r="C23" s="2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 s="1" t="str">
        <f>_xlfn.CONCAT(D23:S23)</f>
        <v>0000001000010000</v>
      </c>
      <c r="U23" s="5" t="str">
        <f t="shared" si="3"/>
        <v>0210</v>
      </c>
    </row>
    <row r="24" spans="3:21" x14ac:dyDescent="0.35">
      <c r="C24" s="2">
        <v>3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 s="1" t="str">
        <f>_xlfn.CONCAT(D24:S24)</f>
        <v>0000010000010000</v>
      </c>
      <c r="U24" s="5" t="str">
        <f>BIN2HEX(LEFT(T24, 8), 2) &amp; BIN2HEX(RIGHT(T24, 8), 2)</f>
        <v>0410</v>
      </c>
    </row>
    <row r="25" spans="3:21" x14ac:dyDescent="0.35">
      <c r="C25" s="2">
        <v>4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 s="1" t="str">
        <f>_xlfn.CONCAT(D25:S25)</f>
        <v>0000100000010000</v>
      </c>
      <c r="U25" s="5" t="str">
        <f t="shared" ref="U25:U34" si="4">BIN2HEX(LEFT(T25, 8), 2) &amp; BIN2HEX(RIGHT(T25, 8), 2)</f>
        <v>0810</v>
      </c>
    </row>
    <row r="26" spans="3:21" x14ac:dyDescent="0.35">
      <c r="C26" s="2">
        <v>5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 s="1" t="str">
        <f>_xlfn.CONCAT(D26:S26)</f>
        <v>0001000000010000</v>
      </c>
      <c r="U26" s="5" t="str">
        <f t="shared" si="4"/>
        <v>1010</v>
      </c>
    </row>
    <row r="27" spans="3:21" x14ac:dyDescent="0.35">
      <c r="C27" s="2">
        <v>6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 s="1" t="str">
        <f>_xlfn.CONCAT(D27:S27)</f>
        <v>0010000000010000</v>
      </c>
      <c r="U27" s="5" t="str">
        <f t="shared" si="4"/>
        <v>2010</v>
      </c>
    </row>
    <row r="28" spans="3:21" x14ac:dyDescent="0.35">
      <c r="C28" s="2">
        <v>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 s="1" t="str">
        <f>_xlfn.CONCAT(D28:S28)</f>
        <v>0100000000010000</v>
      </c>
      <c r="U28" s="5" t="str">
        <f t="shared" si="4"/>
        <v>4010</v>
      </c>
    </row>
    <row r="29" spans="3:21" x14ac:dyDescent="0.35">
      <c r="C29" s="2">
        <v>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 s="1" t="str">
        <f>_xlfn.CONCAT(D29:S29)</f>
        <v>0000000010010000</v>
      </c>
      <c r="U29" s="5" t="str">
        <f t="shared" si="4"/>
        <v>0090</v>
      </c>
    </row>
    <row r="30" spans="3:21" x14ac:dyDescent="0.35">
      <c r="C30" s="2">
        <v>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 s="1" t="str">
        <f>_xlfn.CONCAT(D30:S30)</f>
        <v>0000000000010001</v>
      </c>
      <c r="U30" s="5" t="str">
        <f t="shared" si="4"/>
        <v>0011</v>
      </c>
    </row>
    <row r="31" spans="3:21" x14ac:dyDescent="0.35">
      <c r="C31" s="2">
        <v>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 s="1" t="str">
        <f>_xlfn.CONCAT(D31:S31)</f>
        <v>0000000000010001</v>
      </c>
      <c r="U31" s="5" t="str">
        <f t="shared" si="4"/>
        <v>0011</v>
      </c>
    </row>
    <row r="32" spans="3:21" x14ac:dyDescent="0.35">
      <c r="C32" s="2">
        <v>11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1</v>
      </c>
      <c r="S32">
        <v>0</v>
      </c>
      <c r="T32" s="1" t="str">
        <f>_xlfn.CONCAT(D32:S32)</f>
        <v>0000000001110010</v>
      </c>
      <c r="U32" s="5" t="str">
        <f t="shared" si="4"/>
        <v>0072</v>
      </c>
    </row>
    <row r="33" spans="3:21" x14ac:dyDescent="0.35">
      <c r="C33" s="2">
        <v>12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 s="1" t="str">
        <f>_xlfn.CONCAT(D33:S33)</f>
        <v>0000000001110010</v>
      </c>
      <c r="U33" s="5" t="str">
        <f t="shared" si="4"/>
        <v>0072</v>
      </c>
    </row>
    <row r="34" spans="3:21" x14ac:dyDescent="0.35">
      <c r="D34" t="s">
        <v>17</v>
      </c>
      <c r="E34" t="s">
        <v>24</v>
      </c>
      <c r="F34" t="s">
        <v>23</v>
      </c>
      <c r="G34" t="s">
        <v>22</v>
      </c>
      <c r="H34" t="s">
        <v>21</v>
      </c>
      <c r="I34" t="s">
        <v>20</v>
      </c>
      <c r="J34" t="s">
        <v>19</v>
      </c>
      <c r="K34" t="s">
        <v>18</v>
      </c>
      <c r="L34" t="s">
        <v>17</v>
      </c>
      <c r="M34" t="s">
        <v>24</v>
      </c>
      <c r="N34" t="s">
        <v>23</v>
      </c>
      <c r="O34" t="s">
        <v>22</v>
      </c>
      <c r="P34" t="s">
        <v>21</v>
      </c>
      <c r="Q34" t="s">
        <v>20</v>
      </c>
      <c r="R34" t="s">
        <v>19</v>
      </c>
      <c r="S34" t="s">
        <v>18</v>
      </c>
    </row>
  </sheetData>
  <mergeCells count="10">
    <mergeCell ref="U19:U20"/>
    <mergeCell ref="T19:T20"/>
    <mergeCell ref="D19:S20"/>
    <mergeCell ref="C19:C20"/>
    <mergeCell ref="C2:C3"/>
    <mergeCell ref="P2:Q3"/>
    <mergeCell ref="R2:S3"/>
    <mergeCell ref="T2:T3"/>
    <mergeCell ref="U2:U3"/>
    <mergeCell ref="D3:O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Andreani</dc:creator>
  <cp:lastModifiedBy>Andreani Kalatha</cp:lastModifiedBy>
  <dcterms:created xsi:type="dcterms:W3CDTF">2015-06-05T18:17:20Z</dcterms:created>
  <dcterms:modified xsi:type="dcterms:W3CDTF">2025-09-08T10:23:40Z</dcterms:modified>
</cp:coreProperties>
</file>